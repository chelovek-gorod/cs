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4" i="1"/>
  <c r="K4" i="1"/>
  <c r="J5" i="1"/>
  <c r="J6" i="1"/>
  <c r="J7" i="1"/>
  <c r="J9" i="1"/>
  <c r="J10" i="1"/>
  <c r="K10" i="1" s="1"/>
  <c r="J4" i="1"/>
  <c r="K5" i="1"/>
  <c r="K6" i="1"/>
  <c r="I4" i="1"/>
  <c r="H4" i="1"/>
  <c r="I5" i="1"/>
  <c r="I6" i="1"/>
  <c r="I7" i="1"/>
  <c r="I8" i="1"/>
  <c r="I9" i="1"/>
  <c r="I10" i="1"/>
  <c r="H9" i="1"/>
  <c r="H10" i="1"/>
  <c r="G5" i="1"/>
  <c r="H5" i="1" s="1"/>
  <c r="G6" i="1"/>
  <c r="H6" i="1" s="1"/>
  <c r="G7" i="1"/>
  <c r="H7" i="1" s="1"/>
  <c r="G8" i="1"/>
  <c r="H8" i="1" s="1"/>
  <c r="G9" i="1"/>
  <c r="G10" i="1"/>
  <c r="G4" i="1"/>
  <c r="K9" i="1" l="1"/>
  <c r="K7" i="1"/>
</calcChain>
</file>

<file path=xl/sharedStrings.xml><?xml version="1.0" encoding="utf-8"?>
<sst xmlns="http://schemas.openxmlformats.org/spreadsheetml/2006/main" count="18" uniqueCount="18">
  <si>
    <t>normal</t>
  </si>
  <si>
    <t>fust</t>
  </si>
  <si>
    <t>shooter</t>
  </si>
  <si>
    <t>rider</t>
  </si>
  <si>
    <t>bomber</t>
  </si>
  <si>
    <t>tank</t>
  </si>
  <si>
    <t>boss</t>
  </si>
  <si>
    <t>HP</t>
  </si>
  <si>
    <t>Speed</t>
  </si>
  <si>
    <t>Damage</t>
  </si>
  <si>
    <t>AttackTimeout</t>
  </si>
  <si>
    <t>Distance</t>
  </si>
  <si>
    <t>t_reach</t>
  </si>
  <si>
    <t>hp_rest</t>
  </si>
  <si>
    <t>danger</t>
  </si>
  <si>
    <t>tower_offset</t>
  </si>
  <si>
    <t>DPS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</si>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</sst>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L2" sqref="L2"/>
    </sheetView>
  </sheetViews>
  <sheetFormatPr defaultRowHeight="14.4" x14ac:dyDescent="0.3"/>
  <cols>
    <col min="5" max="5" width="13.77734375" customWidth="1"/>
    <col min="6" max="6" width="13.33203125" customWidth="1"/>
  </cols>
  <sheetData>
    <row r="1" spans="1:12" x14ac:dyDescent="0.3">
      <c r="F1">
        <v>400</v>
      </c>
      <c r="H1">
        <v>0.2</v>
      </c>
      <c r="K1">
        <v>0.2</v>
      </c>
      <c r="L1">
        <v>0.05</v>
      </c>
    </row>
    <row r="3" spans="1:12" x14ac:dyDescent="0.3">
      <c r="B3" t="s">
        <v>7</v>
      </c>
      <c r="C3" t="s">
        <v>8</v>
      </c>
      <c r="D3" t="s">
        <v>9</v>
      </c>
      <c r="E3" t="s">
        <v>10</v>
      </c>
      <c r="F3" t="s">
        <v>15</v>
      </c>
      <c r="G3" t="s">
        <v>11</v>
      </c>
      <c r="H3" t="s">
        <v>12</v>
      </c>
      <c r="I3" t="s">
        <v>13</v>
      </c>
      <c r="J3" t="s">
        <v>16</v>
      </c>
      <c r="K3" t="s">
        <v>14</v>
      </c>
      <c r="L3" t="s">
        <v>17</v>
      </c>
    </row>
    <row r="4" spans="1:12" x14ac:dyDescent="0.3">
      <c r="A4" t="s">
        <v>0</v>
      </c>
      <c r="B4">
        <v>40</v>
      </c>
      <c r="C4">
        <v>3</v>
      </c>
      <c r="D4">
        <v>4</v>
      </c>
      <c r="E4">
        <v>0.8</v>
      </c>
      <c r="F4">
        <v>30</v>
      </c>
      <c r="G4">
        <f>$F$1-F4</f>
        <v>370</v>
      </c>
      <c r="H4">
        <f>G4/C4*$H$1</f>
        <v>24.666666666666668</v>
      </c>
      <c r="I4">
        <f>B4-H4</f>
        <v>15.333333333333332</v>
      </c>
      <c r="J4">
        <f>D4/E4</f>
        <v>5</v>
      </c>
      <c r="K4">
        <f>I4*J4*$K$1</f>
        <v>15.333333333333332</v>
      </c>
      <c r="L4">
        <f>K4*$L$1</f>
        <v>0.76666666666666661</v>
      </c>
    </row>
    <row r="5" spans="1:12" x14ac:dyDescent="0.3">
      <c r="A5" t="s">
        <v>1</v>
      </c>
      <c r="B5">
        <v>20</v>
      </c>
      <c r="C5">
        <v>8</v>
      </c>
      <c r="D5">
        <v>3</v>
      </c>
      <c r="E5">
        <v>0.7</v>
      </c>
      <c r="F5">
        <v>12</v>
      </c>
      <c r="G5">
        <f t="shared" ref="G5:G10" si="0">$F$1-F5</f>
        <v>388</v>
      </c>
      <c r="H5">
        <f t="shared" ref="H5:H10" si="1">G5/C5*$H$1</f>
        <v>9.7000000000000011</v>
      </c>
      <c r="I5">
        <f t="shared" ref="I5:I11" si="2">B5-H5</f>
        <v>10.299999999999999</v>
      </c>
      <c r="J5">
        <f t="shared" ref="J5:J10" si="3">D5/E5</f>
        <v>4.2857142857142856</v>
      </c>
      <c r="K5">
        <f t="shared" ref="K5:K10" si="4">I5*J5*$K$1</f>
        <v>8.8285714285714274</v>
      </c>
      <c r="L5">
        <f t="shared" ref="L5:L10" si="5">K5*$L$1</f>
        <v>0.44142857142857139</v>
      </c>
    </row>
    <row r="6" spans="1:12" x14ac:dyDescent="0.3">
      <c r="A6" t="s">
        <v>2</v>
      </c>
      <c r="B6">
        <v>50</v>
      </c>
      <c r="C6">
        <v>4</v>
      </c>
      <c r="D6">
        <v>2</v>
      </c>
      <c r="E6">
        <v>0.6</v>
      </c>
      <c r="F6">
        <v>120</v>
      </c>
      <c r="G6">
        <f t="shared" si="0"/>
        <v>280</v>
      </c>
      <c r="H6">
        <f t="shared" si="1"/>
        <v>14</v>
      </c>
      <c r="I6">
        <f t="shared" si="2"/>
        <v>36</v>
      </c>
      <c r="J6">
        <f t="shared" si="3"/>
        <v>3.3333333333333335</v>
      </c>
      <c r="K6">
        <f t="shared" si="4"/>
        <v>24</v>
      </c>
      <c r="L6">
        <f t="shared" si="5"/>
        <v>1.2000000000000002</v>
      </c>
    </row>
    <row r="7" spans="1:12" x14ac:dyDescent="0.3">
      <c r="A7" t="s">
        <v>3</v>
      </c>
      <c r="B7">
        <v>90</v>
      </c>
      <c r="C7">
        <v>5</v>
      </c>
      <c r="D7">
        <v>6</v>
      </c>
      <c r="E7">
        <v>1.5</v>
      </c>
      <c r="F7">
        <v>50</v>
      </c>
      <c r="G7">
        <f t="shared" si="0"/>
        <v>350</v>
      </c>
      <c r="H7">
        <f t="shared" si="1"/>
        <v>14</v>
      </c>
      <c r="I7">
        <f t="shared" si="2"/>
        <v>76</v>
      </c>
      <c r="J7">
        <f t="shared" si="3"/>
        <v>4</v>
      </c>
      <c r="K7">
        <f t="shared" si="4"/>
        <v>60.800000000000004</v>
      </c>
      <c r="L7">
        <f t="shared" si="5"/>
        <v>3.0400000000000005</v>
      </c>
    </row>
    <row r="8" spans="1:12" x14ac:dyDescent="0.3">
      <c r="A8" t="s">
        <v>4</v>
      </c>
      <c r="B8">
        <v>30</v>
      </c>
      <c r="C8">
        <v>7</v>
      </c>
      <c r="D8">
        <v>25</v>
      </c>
      <c r="E8">
        <v>0</v>
      </c>
      <c r="F8">
        <v>20</v>
      </c>
      <c r="G8">
        <f t="shared" si="0"/>
        <v>380</v>
      </c>
      <c r="H8">
        <f t="shared" si="1"/>
        <v>10.857142857142858</v>
      </c>
      <c r="I8">
        <f t="shared" si="2"/>
        <v>19.142857142857142</v>
      </c>
      <c r="J8" s="1">
        <v>25</v>
      </c>
      <c r="K8" s="1">
        <v>25</v>
      </c>
      <c r="L8">
        <f t="shared" si="5"/>
        <v>1.25</v>
      </c>
    </row>
    <row r="9" spans="1:12" x14ac:dyDescent="0.3">
      <c r="A9" t="s">
        <v>5</v>
      </c>
      <c r="B9">
        <v>200</v>
      </c>
      <c r="C9">
        <v>2</v>
      </c>
      <c r="D9">
        <v>10</v>
      </c>
      <c r="E9">
        <v>2</v>
      </c>
      <c r="F9">
        <v>160</v>
      </c>
      <c r="G9">
        <f t="shared" si="0"/>
        <v>240</v>
      </c>
      <c r="H9">
        <f t="shared" si="1"/>
        <v>24</v>
      </c>
      <c r="I9">
        <f t="shared" si="2"/>
        <v>176</v>
      </c>
      <c r="J9">
        <f t="shared" si="3"/>
        <v>5</v>
      </c>
      <c r="K9">
        <f t="shared" si="4"/>
        <v>176</v>
      </c>
      <c r="L9">
        <f t="shared" si="5"/>
        <v>8.8000000000000007</v>
      </c>
    </row>
    <row r="10" spans="1:12" x14ac:dyDescent="0.3">
      <c r="A10" t="s">
        <v>6</v>
      </c>
      <c r="B10">
        <v>500</v>
      </c>
      <c r="C10">
        <v>6</v>
      </c>
      <c r="D10">
        <v>5</v>
      </c>
      <c r="E10">
        <v>1</v>
      </c>
      <c r="F10">
        <v>64</v>
      </c>
      <c r="G10">
        <f t="shared" si="0"/>
        <v>336</v>
      </c>
      <c r="H10">
        <f t="shared" si="1"/>
        <v>11.200000000000001</v>
      </c>
      <c r="I10">
        <f t="shared" si="2"/>
        <v>488.8</v>
      </c>
      <c r="J10">
        <f t="shared" si="3"/>
        <v>5</v>
      </c>
      <c r="K10">
        <f t="shared" si="4"/>
        <v>488.8</v>
      </c>
      <c r="L10">
        <f t="shared" si="5"/>
        <v>24.44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2026-09-09T21:42:05Z</dcterms:modified>
</cp:coreProperties>
</file>